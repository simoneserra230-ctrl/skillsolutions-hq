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Input" sheetId="2" state="visible" r:id="rId2"/>
    <sheet name="Run-rate (mese 12)" sheetId="3" state="visible" r:id="rId3"/>
    <sheet name="Rampa 12 mesi (Bas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7">
    <font>
      <name val="Calibri"/>
      <family val="2"/>
      <color theme="1"/>
      <sz val="11"/>
      <scheme val="minor"/>
    </font>
    <font>
      <b val="1"/>
      <color rgb="00C9A84C"/>
      <sz val="15"/>
    </font>
    <font>
      <b val="1"/>
    </font>
    <font>
      <b val="1"/>
      <color rgb="00C9A84C"/>
      <sz val="13"/>
    </font>
    <font>
      <b val="1"/>
      <color rgb="00FFFFFF"/>
    </font>
    <font>
      <i val="1"/>
      <color rgb="00888888"/>
    </font>
    <font>
      <b val="1"/>
      <color rgb="00C9A84C"/>
      <sz val="12"/>
    </font>
  </fonts>
  <fills count="6">
    <fill>
      <patternFill/>
    </fill>
    <fill>
      <patternFill patternType="gray125"/>
    </fill>
    <fill>
      <patternFill patternType="solid">
        <fgColor rgb="000A0A0F"/>
      </patternFill>
    </fill>
    <fill>
      <patternFill patternType="solid">
        <fgColor rgb="00EFECE4"/>
      </patternFill>
    </fill>
    <fill>
      <patternFill patternType="solid">
        <fgColor rgb="00FFF3C4"/>
      </patternFill>
    </fill>
    <fill>
      <patternFill patternType="solid">
        <fgColor rgb="00C9A84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3" fontId="0" fillId="4" borderId="1" pivotButton="0" quotePrefix="0" xfId="0"/>
    <xf numFmtId="0" fontId="5" fillId="0" borderId="0" pivotButton="0" quotePrefix="0" xfId="0"/>
    <xf numFmtId="164" fontId="0" fillId="4" borderId="1" pivotButton="0" quotePrefix="0" xfId="0"/>
    <xf numFmtId="9" fontId="0" fillId="4" borderId="1" pivotButton="0" quotePrefix="0" xfId="0"/>
    <xf numFmtId="164" fontId="0" fillId="0" borderId="1" pivotButton="0" quotePrefix="0" xfId="0"/>
    <xf numFmtId="0" fontId="2" fillId="5" borderId="0" pivotButton="0" quotePrefix="0" xfId="0"/>
    <xf numFmtId="164" fontId="2" fillId="5" borderId="0" pivotButton="0" quotePrefix="0" xfId="0"/>
    <xf numFmtId="164" fontId="2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8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1">
      <c r="B1" s="1" t="inlineStr">
        <is>
          <t>MODELLO FINANZIARIO — Ecosistema SkillSolutions</t>
        </is>
      </c>
    </row>
    <row r="2">
      <c r="B2" t="inlineStr">
        <is>
          <t>Documento interno · i numeri sono TUOI da compilare · giugno 2026</t>
        </is>
      </c>
    </row>
    <row r="3">
      <c r="B3" t="inlineStr"/>
    </row>
    <row r="4">
      <c r="B4" s="2" t="inlineStr">
        <is>
          <t>► COME SI USA</t>
        </is>
      </c>
    </row>
    <row r="5">
      <c r="B5" t="inlineStr">
        <is>
          <t>1) Foglio «Input»: compila SOLO le celle GIALLE coi tuoi numeri reali (3 scenari: Conservativo/Base/Ottimistico).</t>
        </is>
      </c>
    </row>
    <row r="6">
      <c r="B6" t="inlineStr">
        <is>
          <t>2) Foglio «Run-rate (mese 12)»: calcola da solo i ricavi a regime per i 3 scenari.</t>
        </is>
      </c>
    </row>
    <row r="7">
      <c r="B7" t="inlineStr">
        <is>
          <t>3) Foglio «Rampa 12 mesi (Base)»: curva mese-per-mese dello scenario Base (rampa lineare illustrativa).</t>
        </is>
      </c>
    </row>
    <row r="8">
      <c r="B8" t="inlineStr"/>
    </row>
    <row r="9">
      <c r="B9" s="2" t="inlineStr">
        <is>
          <t>► FATTI vs IPOTESI</t>
        </is>
      </c>
    </row>
    <row r="10">
      <c r="B10" t="inlineStr">
        <is>
          <t>FATTI oggi: 0 clienti SaaS paganti · 0 MRR · BAD360/BA.IA live · BAD pronto al deploy.</t>
        </is>
      </c>
    </row>
    <row r="11">
      <c r="B11" t="inlineStr">
        <is>
          <t>IPOTESI: tutto ciò che scrivi qui è una previsione. I tuoi unici numeri REALI di partenza sono BAD eventi.</t>
        </is>
      </c>
    </row>
    <row r="12">
      <c r="B12" t="inlineStr"/>
    </row>
    <row r="13">
      <c r="B13" s="2" t="inlineStr">
        <is>
          <t>► I DRIVER CHE IL WHITE PAPER NON AVEVA (e la tua critica chiede)</t>
        </is>
      </c>
    </row>
    <row r="14">
      <c r="B14" t="inlineStr">
        <is>
          <t>• CAC = costo acquisizione cliente. Se ~0 (passaparola) scrivilo, ma è un rischio: il passaparola non scala.</t>
        </is>
      </c>
    </row>
    <row r="15">
      <c r="B15" t="inlineStr">
        <is>
          <t>• Churn = % clienti persi/mese. Su SaaS senza onboarding il churn iniziale è alto.</t>
        </is>
      </c>
    </row>
    <row r="16">
      <c r="B16" t="inlineStr">
        <is>
          <t>• Conversione lead→cliente: è IL numero che valida il forecast. Senza, è un sogno.</t>
        </is>
      </c>
    </row>
    <row r="17">
      <c r="B17" t="inlineStr"/>
    </row>
    <row r="18">
      <c r="B18" s="2" t="inlineStr">
        <is>
          <t>► REGOLA D'ORO: se non hai un numero, non inventarlo — lascialo vuoto e segnalo 'da misurare'.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42" customWidth="1" min="5" max="5"/>
  </cols>
  <sheetData>
    <row r="1">
      <c r="A1" s="3" t="inlineStr">
        <is>
          <t>INPUT — compila le celle GIALLE (i tuoi numeri reali)</t>
        </is>
      </c>
    </row>
    <row r="3">
      <c r="A3" s="4" t="inlineStr">
        <is>
          <t>Driver</t>
        </is>
      </c>
      <c r="B3" s="4" t="inlineStr">
        <is>
          <t>Conservativo</t>
        </is>
      </c>
      <c r="C3" s="4" t="inlineStr">
        <is>
          <t>Base</t>
        </is>
      </c>
      <c r="D3" s="4" t="inlineStr">
        <is>
          <t>Ottimistico</t>
        </is>
      </c>
      <c r="E3" s="4" t="inlineStr">
        <is>
          <t>Note</t>
        </is>
      </c>
    </row>
    <row r="4">
      <c r="A4" s="5" t="inlineStr">
        <is>
          <t>— BAD EVENTI (servizio · cassa oggi) —</t>
        </is>
      </c>
      <c r="B4" s="6" t="n"/>
      <c r="C4" s="6" t="n"/>
      <c r="D4" s="6" t="n"/>
      <c r="E4" s="6" t="n"/>
    </row>
    <row r="5">
      <c r="A5" t="inlineStr">
        <is>
          <t>Eventi / mese</t>
        </is>
      </c>
      <c r="B5" s="7" t="n"/>
      <c r="C5" s="7" t="n"/>
      <c r="D5" s="7" t="n"/>
      <c r="E5" s="8" t="inlineStr">
        <is>
          <t>il tuo dato reale</t>
        </is>
      </c>
    </row>
    <row r="6">
      <c r="A6" t="inlineStr">
        <is>
          <t>Ticket medio (€/evento)</t>
        </is>
      </c>
      <c r="B6" s="9" t="n"/>
      <c r="C6" s="9" t="n"/>
      <c r="D6" s="9" t="n"/>
      <c r="E6" s="8" t="inlineStr">
        <is>
          <t>ricavo medio per evento</t>
        </is>
      </c>
    </row>
    <row r="7">
      <c r="A7" t="inlineStr">
        <is>
          <t>Margine lordo %</t>
        </is>
      </c>
      <c r="B7" s="10" t="n"/>
      <c r="C7" s="10" t="n"/>
      <c r="D7" s="10" t="n"/>
      <c r="E7" s="8" t="inlineStr">
        <is>
          <t>es. 0,55</t>
        </is>
      </c>
    </row>
    <row r="8">
      <c r="A8" s="5" t="inlineStr">
        <is>
          <t>— BAD CONSULTANCY (retainer) —</t>
        </is>
      </c>
      <c r="B8" s="6" t="n"/>
      <c r="C8" s="6" t="n"/>
      <c r="D8" s="6" t="n"/>
      <c r="E8" s="6" t="n"/>
    </row>
    <row r="9">
      <c r="A9" t="inlineStr">
        <is>
          <t>Clienti Consultancy a regime (#)</t>
        </is>
      </c>
      <c r="B9" s="7" t="n"/>
      <c r="C9" s="7" t="n"/>
      <c r="D9" s="7" t="n"/>
      <c r="E9" s="8" t="inlineStr">
        <is>
          <t>Metodo Bar/Hotel Pro</t>
        </is>
      </c>
    </row>
    <row r="10">
      <c r="A10" t="inlineStr">
        <is>
          <t>Fee mensile (€/cliente)</t>
        </is>
      </c>
      <c r="B10" s="9" t="n"/>
      <c r="C10" s="9" t="n"/>
      <c r="D10" s="9" t="n"/>
      <c r="E10" s="8" t="inlineStr">
        <is>
          <t>vedi pricing</t>
        </is>
      </c>
    </row>
    <row r="11">
      <c r="A11" s="5" t="inlineStr">
        <is>
          <t>— BAD360 (SaaS) —</t>
        </is>
      </c>
      <c r="B11" s="6" t="n"/>
      <c r="C11" s="6" t="n"/>
      <c r="D11" s="6" t="n"/>
      <c r="E11" s="6" t="n"/>
    </row>
    <row r="12">
      <c r="A12" t="inlineStr">
        <is>
          <t>BAD360 clienti paganti (#)</t>
        </is>
      </c>
      <c r="B12" s="7" t="n"/>
      <c r="C12" s="7" t="n"/>
      <c r="D12" s="7" t="n"/>
      <c r="E12" s="8" t="inlineStr"/>
    </row>
    <row r="13">
      <c r="A13" t="inlineStr">
        <is>
          <t>BAD360 ARPU (€/mese)</t>
        </is>
      </c>
      <c r="B13" s="9" t="n"/>
      <c r="C13" s="9" t="n"/>
      <c r="D13" s="9" t="n"/>
      <c r="E13" s="8" t="inlineStr">
        <is>
          <t>ricavo medio/cliente</t>
        </is>
      </c>
    </row>
    <row r="14">
      <c r="A14" s="5" t="inlineStr">
        <is>
          <t>— BA.IA (SaaS + success fee) —</t>
        </is>
      </c>
      <c r="B14" s="6" t="n"/>
      <c r="C14" s="6" t="n"/>
      <c r="D14" s="6" t="n"/>
      <c r="E14" s="6" t="n"/>
    </row>
    <row r="15">
      <c r="A15" t="inlineStr">
        <is>
          <t>BA.IA clienti paganti (#)</t>
        </is>
      </c>
      <c r="B15" s="7" t="n"/>
      <c r="C15" s="7" t="n"/>
      <c r="D15" s="7" t="n"/>
      <c r="E15" s="8" t="inlineStr"/>
    </row>
    <row r="16">
      <c r="A16" t="inlineStr">
        <is>
          <t>BA.IA ARPU (€/mese)</t>
        </is>
      </c>
      <c r="B16" s="9" t="n"/>
      <c r="C16" s="9" t="n"/>
      <c r="D16" s="9" t="n"/>
      <c r="E16" s="8" t="inlineStr"/>
    </row>
    <row r="17">
      <c r="A17" t="inlineStr">
        <is>
          <t>BA.IA success fee equiv. (€/mese)</t>
        </is>
      </c>
      <c r="B17" s="9" t="n"/>
      <c r="C17" s="9" t="n"/>
      <c r="D17" s="9" t="n"/>
      <c r="E17" s="8" t="inlineStr">
        <is>
          <t>% bando vinto, spalmata</t>
        </is>
      </c>
    </row>
    <row r="18">
      <c r="A18" s="5" t="inlineStr">
        <is>
          <t>— BARMANMATCH —</t>
        </is>
      </c>
      <c r="B18" s="6" t="n"/>
      <c r="C18" s="6" t="n"/>
      <c r="D18" s="6" t="n"/>
      <c r="E18" s="6" t="n"/>
    </row>
    <row r="19">
      <c r="A19" t="inlineStr">
        <is>
          <t>Venue paganti (#)</t>
        </is>
      </c>
      <c r="B19" s="7" t="n"/>
      <c r="C19" s="7" t="n"/>
      <c r="D19" s="7" t="n"/>
      <c r="E19" s="8" t="inlineStr">
        <is>
          <t>i lavoratori sono gratis</t>
        </is>
      </c>
    </row>
    <row r="20">
      <c r="A20" t="inlineStr">
        <is>
          <t>Subscription venue (€/mese)</t>
        </is>
      </c>
      <c r="B20" s="9" t="n"/>
      <c r="C20" s="9" t="n"/>
      <c r="D20" s="9" t="n"/>
      <c r="E20" s="8" t="inlineStr"/>
    </row>
    <row r="21">
      <c r="A21" t="inlineStr">
        <is>
          <t>GMV / mese (€)</t>
        </is>
      </c>
      <c r="B21" s="9" t="n"/>
      <c r="C21" s="9" t="n"/>
      <c r="D21" s="9" t="n"/>
      <c r="E21" s="8" t="inlineStr">
        <is>
          <t>volume transato</t>
        </is>
      </c>
    </row>
    <row r="22">
      <c r="A22" t="inlineStr">
        <is>
          <t>Take rate %</t>
        </is>
      </c>
      <c r="B22" s="10" t="n"/>
      <c r="C22" s="10" t="n"/>
      <c r="D22" s="10" t="n"/>
      <c r="E22" s="8" t="inlineStr">
        <is>
          <t>es. 0,10</t>
        </is>
      </c>
    </row>
    <row r="23">
      <c r="A23" s="5" t="inlineStr">
        <is>
          <t>— SSFORMAZIONE (valuta PAUSA) —</t>
        </is>
      </c>
      <c r="B23" s="6" t="n"/>
      <c r="C23" s="6" t="n"/>
      <c r="D23" s="6" t="n"/>
      <c r="E23" s="6" t="n"/>
    </row>
    <row r="24">
      <c r="A24" t="inlineStr">
        <is>
          <t>Corsi / mese (#)</t>
        </is>
      </c>
      <c r="B24" s="7" t="n"/>
      <c r="C24" s="7" t="n"/>
      <c r="D24" s="7" t="n"/>
      <c r="E24" s="8" t="inlineStr">
        <is>
          <t>0 se in pausa</t>
        </is>
      </c>
    </row>
    <row r="25">
      <c r="A25" t="inlineStr">
        <is>
          <t>Prezzo medio corso (€)</t>
        </is>
      </c>
      <c r="B25" s="9" t="n"/>
      <c r="C25" s="9" t="n"/>
      <c r="D25" s="9" t="n"/>
      <c r="E25" s="8" t="inlineStr"/>
    </row>
    <row r="26">
      <c r="A26" s="5" t="inlineStr">
        <is>
          <t>— COSTI &amp; ACQUISIZIONE —</t>
        </is>
      </c>
      <c r="B26" s="6" t="n"/>
      <c r="C26" s="6" t="n"/>
      <c r="D26" s="6" t="n"/>
      <c r="E26" s="6" t="n"/>
    </row>
    <row r="27">
      <c r="A27" t="inlineStr">
        <is>
          <t>Costi fissi / mese (€)</t>
        </is>
      </c>
      <c r="B27" s="9" t="n"/>
      <c r="C27" s="9" t="n"/>
      <c r="D27" s="9" t="n"/>
      <c r="E27" s="8" t="inlineStr">
        <is>
          <t>hosting, tool, dominio…</t>
        </is>
      </c>
    </row>
    <row r="28">
      <c r="A28" t="inlineStr">
        <is>
          <t>CAC medio (€/cliente)</t>
        </is>
      </c>
      <c r="B28" s="9" t="n"/>
      <c r="C28" s="9" t="n"/>
      <c r="D28" s="9" t="n"/>
      <c r="E28" s="8" t="inlineStr">
        <is>
          <t>0 se solo passaparola (=rischio)</t>
        </is>
      </c>
    </row>
    <row r="29">
      <c r="A29" t="inlineStr">
        <is>
          <t>Churn SaaS %/mese</t>
        </is>
      </c>
      <c r="B29" s="10" t="n"/>
      <c r="C29" s="10" t="n"/>
      <c r="D29" s="10" t="n"/>
      <c r="E29" s="8" t="inlineStr">
        <is>
          <t>clienti persi/mese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RICAVI A REGIME — mese 12 (calcolati)</t>
        </is>
      </c>
    </row>
    <row r="3">
      <c r="A3" s="4" t="inlineStr">
        <is>
          <t>Voce (€/mese)</t>
        </is>
      </c>
      <c r="B3" s="4" t="inlineStr">
        <is>
          <t>Conservativo</t>
        </is>
      </c>
      <c r="C3" s="4" t="inlineStr">
        <is>
          <t>Base</t>
        </is>
      </c>
      <c r="D3" s="4" t="inlineStr">
        <is>
          <t>Ottimistico</t>
        </is>
      </c>
    </row>
    <row r="4">
      <c r="A4" t="inlineStr">
        <is>
          <t>BAD eventi (servizio)</t>
        </is>
      </c>
      <c r="B4" s="11">
        <f>Input!B5*Input!B6*Input!B7</f>
        <v/>
      </c>
      <c r="C4" s="11">
        <f>Input!C5*Input!C6*Input!C7</f>
        <v/>
      </c>
      <c r="D4" s="11">
        <f>Input!D5*Input!D6*Input!D7</f>
        <v/>
      </c>
    </row>
    <row r="5">
      <c r="A5" t="inlineStr">
        <is>
          <t>BAD Consultancy</t>
        </is>
      </c>
      <c r="B5" s="11">
        <f>Input!B9*Input!B10</f>
        <v/>
      </c>
      <c r="C5" s="11">
        <f>Input!C9*Input!C10</f>
        <v/>
      </c>
      <c r="D5" s="11">
        <f>Input!D9*Input!D10</f>
        <v/>
      </c>
    </row>
    <row r="6">
      <c r="A6" t="inlineStr">
        <is>
          <t>BAD360</t>
        </is>
      </c>
      <c r="B6" s="11">
        <f>Input!B12*Input!B13</f>
        <v/>
      </c>
      <c r="C6" s="11">
        <f>Input!C12*Input!C13</f>
        <v/>
      </c>
      <c r="D6" s="11">
        <f>Input!D12*Input!D13</f>
        <v/>
      </c>
    </row>
    <row r="7">
      <c r="A7" t="inlineStr">
        <is>
          <t>BA.IA</t>
        </is>
      </c>
      <c r="B7" s="11">
        <f>Input!B15*Input!B16+Input!B17</f>
        <v/>
      </c>
      <c r="C7" s="11">
        <f>Input!C15*Input!C16+Input!C17</f>
        <v/>
      </c>
      <c r="D7" s="11">
        <f>Input!D15*Input!D16+Input!D17</f>
        <v/>
      </c>
    </row>
    <row r="8">
      <c r="A8" t="inlineStr">
        <is>
          <t>BarmanMatch</t>
        </is>
      </c>
      <c r="B8" s="11">
        <f>Input!B19*Input!B20+Input!B21*Input!B22</f>
        <v/>
      </c>
      <c r="C8" s="11">
        <f>Input!C19*Input!C20+Input!C21*Input!C22</f>
        <v/>
      </c>
      <c r="D8" s="11">
        <f>Input!D19*Input!D20+Input!D21*Input!D22</f>
        <v/>
      </c>
    </row>
    <row r="9">
      <c r="A9" t="inlineStr">
        <is>
          <t>SSFormazione</t>
        </is>
      </c>
      <c r="B9" s="11">
        <f>Input!B24*Input!B25</f>
        <v/>
      </c>
      <c r="C9" s="11">
        <f>Input!C24*Input!C25</f>
        <v/>
      </c>
      <c r="D9" s="11">
        <f>Input!D24*Input!D25</f>
        <v/>
      </c>
    </row>
    <row r="10">
      <c r="A10" s="12" t="inlineStr">
        <is>
          <t>RICAVO TOTALE / mese</t>
        </is>
      </c>
      <c r="B10" s="13">
        <f>SUM(B4:B9)</f>
        <v/>
      </c>
      <c r="C10" s="13">
        <f>SUM(C4:C9)</f>
        <v/>
      </c>
      <c r="D10" s="13">
        <f>SUM(D4:D9)</f>
        <v/>
      </c>
    </row>
    <row r="11">
      <c r="A11" s="2" t="inlineStr">
        <is>
          <t>di cui ricorrente (MRR)</t>
        </is>
      </c>
      <c r="B11" s="14">
        <f>B5+B6+B7+B8</f>
        <v/>
      </c>
      <c r="C11" s="14">
        <f>C5+C6+C7+C8</f>
        <v/>
      </c>
      <c r="D11" s="14">
        <f>D5+D6+D7+D8</f>
        <v/>
      </c>
    </row>
    <row r="12">
      <c r="A12" t="inlineStr">
        <is>
          <t>Costi fissi / mese</t>
        </is>
      </c>
      <c r="B12" s="15">
        <f>Input!B27</f>
        <v/>
      </c>
      <c r="C12" s="15">
        <f>Input!C27</f>
        <v/>
      </c>
      <c r="D12" s="15">
        <f>Input!D27</f>
        <v/>
      </c>
    </row>
    <row r="13">
      <c r="A13" s="12" t="inlineStr">
        <is>
          <t>CONTRIBUZIONE / mese</t>
        </is>
      </c>
      <c r="B13" s="13">
        <f>B10-B12</f>
        <v/>
      </c>
      <c r="C13" s="13">
        <f>C10-C12</f>
        <v/>
      </c>
      <c r="D13" s="13">
        <f>D10-D12</f>
        <v/>
      </c>
    </row>
    <row r="14">
      <c r="A14" t="inlineStr">
        <is>
          <t>% da servizio (BAD eventi)</t>
        </is>
      </c>
      <c r="B14" s="16">
        <f>IF(B10=0,0,B4/B10)</f>
        <v/>
      </c>
      <c r="C14" s="16">
        <f>IF(C10=0,0,C4/C10)</f>
        <v/>
      </c>
      <c r="D14" s="16">
        <f>IF(D10=0,0,D4/D10)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5" customWidth="1" min="8" max="8"/>
  </cols>
  <sheetData>
    <row r="1">
      <c r="A1" s="17" t="inlineStr">
        <is>
          <t>RAMPA 12 MESI — scenario Base (rampa lineare illustrativa, €/mese)</t>
        </is>
      </c>
    </row>
    <row r="2">
      <c r="A2" s="8" t="inlineStr">
        <is>
          <t>Nota: rampa lineare 0→run-rate. La realtà è una S-curve; serve per ordine di grandezza.</t>
        </is>
      </c>
    </row>
    <row r="4">
      <c r="A4" s="4" t="inlineStr">
        <is>
          <t>Mese</t>
        </is>
      </c>
      <c r="B4" s="4" t="inlineStr">
        <is>
          <t>BAD eventi</t>
        </is>
      </c>
      <c r="C4" s="4" t="inlineStr">
        <is>
          <t>Consultancy</t>
        </is>
      </c>
      <c r="D4" s="4" t="inlineStr">
        <is>
          <t>BAD360</t>
        </is>
      </c>
      <c r="E4" s="4" t="inlineStr">
        <is>
          <t>BA.IA</t>
        </is>
      </c>
      <c r="F4" s="4" t="inlineStr">
        <is>
          <t>BarmanMatch</t>
        </is>
      </c>
      <c r="G4" s="4" t="inlineStr">
        <is>
          <t>SSForm.</t>
        </is>
      </c>
      <c r="H4" s="4" t="inlineStr">
        <is>
          <t>TOTALE</t>
        </is>
      </c>
    </row>
    <row r="5">
      <c r="A5" t="n">
        <v>1</v>
      </c>
      <c r="B5" s="15">
        <f>'Run-rate (mese 12)'!C4*1/12</f>
        <v/>
      </c>
      <c r="C5" s="15">
        <f>'Run-rate (mese 12)'!C5*1/12</f>
        <v/>
      </c>
      <c r="D5" s="15">
        <f>'Run-rate (mese 12)'!C6*1/12</f>
        <v/>
      </c>
      <c r="E5" s="15">
        <f>'Run-rate (mese 12)'!C7*1/12</f>
        <v/>
      </c>
      <c r="F5" s="15">
        <f>'Run-rate (mese 12)'!C8*1/12</f>
        <v/>
      </c>
      <c r="G5" s="15">
        <f>'Run-rate (mese 12)'!C9*1/12</f>
        <v/>
      </c>
      <c r="H5" s="14">
        <f>SUM(B5:G5)</f>
        <v/>
      </c>
    </row>
    <row r="6">
      <c r="A6" t="n">
        <v>2</v>
      </c>
      <c r="B6" s="15">
        <f>'Run-rate (mese 12)'!C4*2/12</f>
        <v/>
      </c>
      <c r="C6" s="15">
        <f>'Run-rate (mese 12)'!C5*2/12</f>
        <v/>
      </c>
      <c r="D6" s="15">
        <f>'Run-rate (mese 12)'!C6*2/12</f>
        <v/>
      </c>
      <c r="E6" s="15">
        <f>'Run-rate (mese 12)'!C7*2/12</f>
        <v/>
      </c>
      <c r="F6" s="15">
        <f>'Run-rate (mese 12)'!C8*2/12</f>
        <v/>
      </c>
      <c r="G6" s="15">
        <f>'Run-rate (mese 12)'!C9*2/12</f>
        <v/>
      </c>
      <c r="H6" s="14">
        <f>SUM(B6:G6)</f>
        <v/>
      </c>
    </row>
    <row r="7">
      <c r="A7" t="n">
        <v>3</v>
      </c>
      <c r="B7" s="15">
        <f>'Run-rate (mese 12)'!C4*3/12</f>
        <v/>
      </c>
      <c r="C7" s="15">
        <f>'Run-rate (mese 12)'!C5*3/12</f>
        <v/>
      </c>
      <c r="D7" s="15">
        <f>'Run-rate (mese 12)'!C6*3/12</f>
        <v/>
      </c>
      <c r="E7" s="15">
        <f>'Run-rate (mese 12)'!C7*3/12</f>
        <v/>
      </c>
      <c r="F7" s="15">
        <f>'Run-rate (mese 12)'!C8*3/12</f>
        <v/>
      </c>
      <c r="G7" s="15">
        <f>'Run-rate (mese 12)'!C9*3/12</f>
        <v/>
      </c>
      <c r="H7" s="14">
        <f>SUM(B7:G7)</f>
        <v/>
      </c>
    </row>
    <row r="8">
      <c r="A8" t="n">
        <v>4</v>
      </c>
      <c r="B8" s="15">
        <f>'Run-rate (mese 12)'!C4*4/12</f>
        <v/>
      </c>
      <c r="C8" s="15">
        <f>'Run-rate (mese 12)'!C5*4/12</f>
        <v/>
      </c>
      <c r="D8" s="15">
        <f>'Run-rate (mese 12)'!C6*4/12</f>
        <v/>
      </c>
      <c r="E8" s="15">
        <f>'Run-rate (mese 12)'!C7*4/12</f>
        <v/>
      </c>
      <c r="F8" s="15">
        <f>'Run-rate (mese 12)'!C8*4/12</f>
        <v/>
      </c>
      <c r="G8" s="15">
        <f>'Run-rate (mese 12)'!C9*4/12</f>
        <v/>
      </c>
      <c r="H8" s="14">
        <f>SUM(B8:G8)</f>
        <v/>
      </c>
    </row>
    <row r="9">
      <c r="A9" t="n">
        <v>5</v>
      </c>
      <c r="B9" s="15">
        <f>'Run-rate (mese 12)'!C4*5/12</f>
        <v/>
      </c>
      <c r="C9" s="15">
        <f>'Run-rate (mese 12)'!C5*5/12</f>
        <v/>
      </c>
      <c r="D9" s="15">
        <f>'Run-rate (mese 12)'!C6*5/12</f>
        <v/>
      </c>
      <c r="E9" s="15">
        <f>'Run-rate (mese 12)'!C7*5/12</f>
        <v/>
      </c>
      <c r="F9" s="15">
        <f>'Run-rate (mese 12)'!C8*5/12</f>
        <v/>
      </c>
      <c r="G9" s="15">
        <f>'Run-rate (mese 12)'!C9*5/12</f>
        <v/>
      </c>
      <c r="H9" s="14">
        <f>SUM(B9:G9)</f>
        <v/>
      </c>
    </row>
    <row r="10">
      <c r="A10" t="n">
        <v>6</v>
      </c>
      <c r="B10" s="15">
        <f>'Run-rate (mese 12)'!C4*6/12</f>
        <v/>
      </c>
      <c r="C10" s="15">
        <f>'Run-rate (mese 12)'!C5*6/12</f>
        <v/>
      </c>
      <c r="D10" s="15">
        <f>'Run-rate (mese 12)'!C6*6/12</f>
        <v/>
      </c>
      <c r="E10" s="15">
        <f>'Run-rate (mese 12)'!C7*6/12</f>
        <v/>
      </c>
      <c r="F10" s="15">
        <f>'Run-rate (mese 12)'!C8*6/12</f>
        <v/>
      </c>
      <c r="G10" s="15">
        <f>'Run-rate (mese 12)'!C9*6/12</f>
        <v/>
      </c>
      <c r="H10" s="14">
        <f>SUM(B10:G10)</f>
        <v/>
      </c>
    </row>
    <row r="11">
      <c r="A11" t="n">
        <v>7</v>
      </c>
      <c r="B11" s="15">
        <f>'Run-rate (mese 12)'!C4*7/12</f>
        <v/>
      </c>
      <c r="C11" s="15">
        <f>'Run-rate (mese 12)'!C5*7/12</f>
        <v/>
      </c>
      <c r="D11" s="15">
        <f>'Run-rate (mese 12)'!C6*7/12</f>
        <v/>
      </c>
      <c r="E11" s="15">
        <f>'Run-rate (mese 12)'!C7*7/12</f>
        <v/>
      </c>
      <c r="F11" s="15">
        <f>'Run-rate (mese 12)'!C8*7/12</f>
        <v/>
      </c>
      <c r="G11" s="15">
        <f>'Run-rate (mese 12)'!C9*7/12</f>
        <v/>
      </c>
      <c r="H11" s="14">
        <f>SUM(B11:G11)</f>
        <v/>
      </c>
    </row>
    <row r="12">
      <c r="A12" t="n">
        <v>8</v>
      </c>
      <c r="B12" s="15">
        <f>'Run-rate (mese 12)'!C4*8/12</f>
        <v/>
      </c>
      <c r="C12" s="15">
        <f>'Run-rate (mese 12)'!C5*8/12</f>
        <v/>
      </c>
      <c r="D12" s="15">
        <f>'Run-rate (mese 12)'!C6*8/12</f>
        <v/>
      </c>
      <c r="E12" s="15">
        <f>'Run-rate (mese 12)'!C7*8/12</f>
        <v/>
      </c>
      <c r="F12" s="15">
        <f>'Run-rate (mese 12)'!C8*8/12</f>
        <v/>
      </c>
      <c r="G12" s="15">
        <f>'Run-rate (mese 12)'!C9*8/12</f>
        <v/>
      </c>
      <c r="H12" s="14">
        <f>SUM(B12:G12)</f>
        <v/>
      </c>
    </row>
    <row r="13">
      <c r="A13" t="n">
        <v>9</v>
      </c>
      <c r="B13" s="15">
        <f>'Run-rate (mese 12)'!C4*9/12</f>
        <v/>
      </c>
      <c r="C13" s="15">
        <f>'Run-rate (mese 12)'!C5*9/12</f>
        <v/>
      </c>
      <c r="D13" s="15">
        <f>'Run-rate (mese 12)'!C6*9/12</f>
        <v/>
      </c>
      <c r="E13" s="15">
        <f>'Run-rate (mese 12)'!C7*9/12</f>
        <v/>
      </c>
      <c r="F13" s="15">
        <f>'Run-rate (mese 12)'!C8*9/12</f>
        <v/>
      </c>
      <c r="G13" s="15">
        <f>'Run-rate (mese 12)'!C9*9/12</f>
        <v/>
      </c>
      <c r="H13" s="14">
        <f>SUM(B13:G13)</f>
        <v/>
      </c>
    </row>
    <row r="14">
      <c r="A14" t="n">
        <v>10</v>
      </c>
      <c r="B14" s="15">
        <f>'Run-rate (mese 12)'!C4*10/12</f>
        <v/>
      </c>
      <c r="C14" s="15">
        <f>'Run-rate (mese 12)'!C5*10/12</f>
        <v/>
      </c>
      <c r="D14" s="15">
        <f>'Run-rate (mese 12)'!C6*10/12</f>
        <v/>
      </c>
      <c r="E14" s="15">
        <f>'Run-rate (mese 12)'!C7*10/12</f>
        <v/>
      </c>
      <c r="F14" s="15">
        <f>'Run-rate (mese 12)'!C8*10/12</f>
        <v/>
      </c>
      <c r="G14" s="15">
        <f>'Run-rate (mese 12)'!C9*10/12</f>
        <v/>
      </c>
      <c r="H14" s="14">
        <f>SUM(B14:G14)</f>
        <v/>
      </c>
    </row>
    <row r="15">
      <c r="A15" t="n">
        <v>11</v>
      </c>
      <c r="B15" s="15">
        <f>'Run-rate (mese 12)'!C4*11/12</f>
        <v/>
      </c>
      <c r="C15" s="15">
        <f>'Run-rate (mese 12)'!C5*11/12</f>
        <v/>
      </c>
      <c r="D15" s="15">
        <f>'Run-rate (mese 12)'!C6*11/12</f>
        <v/>
      </c>
      <c r="E15" s="15">
        <f>'Run-rate (mese 12)'!C7*11/12</f>
        <v/>
      </c>
      <c r="F15" s="15">
        <f>'Run-rate (mese 12)'!C8*11/12</f>
        <v/>
      </c>
      <c r="G15" s="15">
        <f>'Run-rate (mese 12)'!C9*11/12</f>
        <v/>
      </c>
      <c r="H15" s="14">
        <f>SUM(B15:G15)</f>
        <v/>
      </c>
    </row>
    <row r="16">
      <c r="A16" t="n">
        <v>12</v>
      </c>
      <c r="B16" s="15">
        <f>'Run-rate (mese 12)'!C4*12/12</f>
        <v/>
      </c>
      <c r="C16" s="15">
        <f>'Run-rate (mese 12)'!C5*12/12</f>
        <v/>
      </c>
      <c r="D16" s="15">
        <f>'Run-rate (mese 12)'!C6*12/12</f>
        <v/>
      </c>
      <c r="E16" s="15">
        <f>'Run-rate (mese 12)'!C7*12/12</f>
        <v/>
      </c>
      <c r="F16" s="15">
        <f>'Run-rate (mese 12)'!C8*12/12</f>
        <v/>
      </c>
      <c r="G16" s="15">
        <f>'Run-rate (mese 12)'!C9*12/12</f>
        <v/>
      </c>
      <c r="H16" s="14">
        <f>SUM(B16:G16)</f>
        <v/>
      </c>
    </row>
    <row r="17">
      <c r="A17" s="12" t="inlineStr">
        <is>
          <t>Cassa 12m</t>
        </is>
      </c>
      <c r="B17" s="13">
        <f>SUM(B5:B16)</f>
        <v/>
      </c>
      <c r="C17" s="13">
        <f>SUM(C5:C16)</f>
        <v/>
      </c>
      <c r="D17" s="13">
        <f>SUM(D5:D16)</f>
        <v/>
      </c>
      <c r="E17" s="13">
        <f>SUM(E5:E16)</f>
        <v/>
      </c>
      <c r="F17" s="13">
        <f>SUM(F5:F16)</f>
        <v/>
      </c>
      <c r="G17" s="13">
        <f>SUM(G5:G16)</f>
        <v/>
      </c>
      <c r="H17" s="13">
        <f>SUM(H5:H16)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2026-06-30T10:25:15Z</dcterms:created>
  <dcterms:modified xsi:type="dcterms:W3CDTF">2026-06-30T10:25:15Z</dcterms:modified>
</cp:coreProperties>
</file>